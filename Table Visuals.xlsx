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<sst xmlns="http://schemas.openxmlformats.org/spreadsheetml/2006/main" count="52" uniqueCount="25">
  <si>
    <t>Without Extension</t>
  </si>
  <si>
    <t>Food Name</t>
  </si>
  <si>
    <t>Serving Size</t>
  </si>
  <si>
    <t>Serving Unit</t>
  </si>
  <si>
    <t>Optimal Fractional Serving</t>
  </si>
  <si>
    <t>Absolute Serving Size</t>
  </si>
  <si>
    <t>Price per Serving</t>
  </si>
  <si>
    <t>Daily Cost</t>
  </si>
  <si>
    <t xml:space="preserve">  Banana</t>
  </si>
  <si>
    <t>Fruit</t>
  </si>
  <si>
    <t xml:space="preserve">  Lowfat Milk 2 Percent</t>
  </si>
  <si>
    <t>Cup</t>
  </si>
  <si>
    <t xml:space="preserve">  Oranges</t>
  </si>
  <si>
    <t xml:space="preserve">  Pork</t>
  </si>
  <si>
    <t>Oz</t>
  </si>
  <si>
    <t xml:space="preserve">  Potatoes Baked</t>
  </si>
  <si>
    <t xml:space="preserve">  Skim Milk</t>
  </si>
  <si>
    <t xml:space="preserve">  Spaghetti with Sauce</t>
  </si>
  <si>
    <t>Total</t>
  </si>
  <si>
    <t>With Extension</t>
  </si>
  <si>
    <t xml:space="preserve">  Apple Raw wSkin</t>
  </si>
  <si>
    <t xml:space="preserve">  Brown Rice Cooked</t>
  </si>
  <si>
    <t xml:space="preserve">  Carrots Raw</t>
  </si>
  <si>
    <t>Cup (Shredded)</t>
  </si>
  <si>
    <t xml:space="preserve">  White 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</si>
</sst>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3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3" fillId="0" fontId="2" numFmtId="164" xfId="0" applyAlignment="1" applyBorder="1" applyFont="1" applyNumberFormat="1">
      <alignment readingOrder="0"/>
    </xf>
    <xf borderId="0" fillId="0" fontId="2" numFmtId="164" xfId="0" applyFont="1" applyNumberForma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3" fillId="0" fontId="2" numFmtId="0" xfId="0" applyBorder="1" applyFont="1"/>
    <xf borderId="0" fillId="0" fontId="1" numFmtId="164" xfId="0" applyFont="1" applyNumberFormat="1"/>
    <xf borderId="4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9.5"/>
    <col customWidth="1" min="4" max="4" width="15.63"/>
    <col customWidth="1" min="5" max="5" width="18.88"/>
    <col customWidth="1" min="6" max="6" width="23.5"/>
    <col customWidth="1" min="7" max="7" width="12.0"/>
  </cols>
  <sheetData>
    <row r="1">
      <c r="B1" s="1" t="s">
        <v>0</v>
      </c>
    </row>
    <row r="2">
      <c r="B2" s="2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4" t="s">
        <v>6</v>
      </c>
      <c r="H2" s="3" t="s">
        <v>7</v>
      </c>
    </row>
    <row r="3">
      <c r="B3" s="5" t="s">
        <v>8</v>
      </c>
      <c r="C3" s="6">
        <v>1.0</v>
      </c>
      <c r="D3" s="7" t="s">
        <v>9</v>
      </c>
      <c r="E3" s="5">
        <v>0.179</v>
      </c>
      <c r="F3" s="8" t="str">
        <f t="shared" ref="F3:F9" si="1">CONCATENATE(value(C3*E3), " ", D3)</f>
        <v>0.179 Fruit</v>
      </c>
      <c r="G3" s="9">
        <v>0.15</v>
      </c>
      <c r="H3" s="10">
        <f t="shared" ref="H3:H9" si="2">G3*E3</f>
        <v>0.02685</v>
      </c>
    </row>
    <row r="4">
      <c r="B4" s="5" t="s">
        <v>10</v>
      </c>
      <c r="C4" s="6">
        <v>1.0</v>
      </c>
      <c r="D4" s="7" t="s">
        <v>11</v>
      </c>
      <c r="E4" s="5">
        <v>2.037</v>
      </c>
      <c r="F4" s="8" t="str">
        <f t="shared" si="1"/>
        <v>2.037 Cup</v>
      </c>
      <c r="G4" s="9">
        <v>0.23</v>
      </c>
      <c r="H4" s="10">
        <f t="shared" si="2"/>
        <v>0.46851</v>
      </c>
    </row>
    <row r="5">
      <c r="B5" s="5" t="s">
        <v>12</v>
      </c>
      <c r="C5" s="6">
        <v>1.0</v>
      </c>
      <c r="D5" s="7" t="s">
        <v>9</v>
      </c>
      <c r="E5" s="5">
        <v>4.698</v>
      </c>
      <c r="F5" s="8" t="str">
        <f t="shared" si="1"/>
        <v>4.698 Fruit</v>
      </c>
      <c r="G5" s="9">
        <v>0.15</v>
      </c>
      <c r="H5" s="10">
        <f t="shared" si="2"/>
        <v>0.7047</v>
      </c>
    </row>
    <row r="6">
      <c r="B6" s="5" t="s">
        <v>13</v>
      </c>
      <c r="C6" s="6">
        <v>4.0</v>
      </c>
      <c r="D6" s="7" t="s">
        <v>14</v>
      </c>
      <c r="E6" s="5">
        <v>0.565</v>
      </c>
      <c r="F6" s="8" t="str">
        <f t="shared" si="1"/>
        <v>2.26 Oz</v>
      </c>
      <c r="G6" s="9">
        <v>0.81</v>
      </c>
      <c r="H6" s="10">
        <f t="shared" si="2"/>
        <v>0.45765</v>
      </c>
    </row>
    <row r="7">
      <c r="B7" s="5" t="s">
        <v>15</v>
      </c>
      <c r="C7" s="6">
        <v>0.5</v>
      </c>
      <c r="D7" s="7" t="s">
        <v>11</v>
      </c>
      <c r="E7" s="5">
        <v>3.149</v>
      </c>
      <c r="F7" s="8" t="str">
        <f t="shared" si="1"/>
        <v>1.5745 Cup</v>
      </c>
      <c r="G7" s="9">
        <v>0.06</v>
      </c>
      <c r="H7" s="10">
        <f t="shared" si="2"/>
        <v>0.18894</v>
      </c>
    </row>
    <row r="8">
      <c r="B8" s="5" t="s">
        <v>16</v>
      </c>
      <c r="C8" s="6">
        <v>1.0</v>
      </c>
      <c r="D8" s="7" t="s">
        <v>11</v>
      </c>
      <c r="E8" s="5">
        <v>0.971</v>
      </c>
      <c r="F8" s="8" t="str">
        <f t="shared" si="1"/>
        <v>0.971 Cup</v>
      </c>
      <c r="G8" s="9">
        <v>0.13</v>
      </c>
      <c r="H8" s="10">
        <f t="shared" si="2"/>
        <v>0.12623</v>
      </c>
    </row>
    <row r="9">
      <c r="B9" s="11" t="s">
        <v>17</v>
      </c>
      <c r="C9" s="12">
        <v>1.5</v>
      </c>
      <c r="D9" s="13" t="s">
        <v>11</v>
      </c>
      <c r="E9" s="11">
        <v>0.614</v>
      </c>
      <c r="F9" s="14" t="str">
        <f t="shared" si="1"/>
        <v>0.921 Cup</v>
      </c>
      <c r="G9" s="15">
        <v>0.78</v>
      </c>
      <c r="H9" s="16">
        <f t="shared" si="2"/>
        <v>0.47892</v>
      </c>
    </row>
    <row r="10">
      <c r="B10" s="1" t="s">
        <v>18</v>
      </c>
      <c r="D10" s="17"/>
      <c r="G10" s="17"/>
      <c r="H10" s="18">
        <f>SUM(H3:H9)</f>
        <v>2.4518</v>
      </c>
    </row>
    <row r="13">
      <c r="B13" s="1" t="s">
        <v>19</v>
      </c>
    </row>
    <row r="14">
      <c r="B14" s="2" t="s">
        <v>1</v>
      </c>
      <c r="C14" s="3" t="s">
        <v>2</v>
      </c>
      <c r="D14" s="4" t="s">
        <v>3</v>
      </c>
      <c r="E14" s="3" t="s">
        <v>4</v>
      </c>
      <c r="F14" s="3" t="s">
        <v>5</v>
      </c>
      <c r="G14" s="4" t="s">
        <v>6</v>
      </c>
      <c r="H14" s="3" t="s">
        <v>7</v>
      </c>
    </row>
    <row r="15">
      <c r="B15" s="5" t="s">
        <v>20</v>
      </c>
      <c r="C15" s="6">
        <v>1.0</v>
      </c>
      <c r="D15" s="7" t="s">
        <v>9</v>
      </c>
      <c r="E15" s="5">
        <v>3.107</v>
      </c>
      <c r="F15" s="8" t="str">
        <f t="shared" ref="F15:F24" si="3">CONCATENATE(value(C15*E15), " ", D15)</f>
        <v>3.107 Fruit</v>
      </c>
      <c r="G15" s="9">
        <v>0.24</v>
      </c>
      <c r="H15" s="10">
        <f t="shared" ref="H15:H24" si="4">G15*E15</f>
        <v>0.74568</v>
      </c>
    </row>
    <row r="16">
      <c r="B16" s="5" t="s">
        <v>21</v>
      </c>
      <c r="C16" s="6">
        <v>0.5</v>
      </c>
      <c r="D16" s="7" t="s">
        <v>11</v>
      </c>
      <c r="E16" s="5">
        <v>0.092</v>
      </c>
      <c r="F16" s="8" t="str">
        <f t="shared" si="3"/>
        <v>0.046 Cup</v>
      </c>
      <c r="G16" s="9">
        <v>0.1</v>
      </c>
      <c r="H16" s="10">
        <f t="shared" si="4"/>
        <v>0.0092</v>
      </c>
    </row>
    <row r="17">
      <c r="B17" s="5" t="s">
        <v>22</v>
      </c>
      <c r="C17" s="6">
        <v>0.5</v>
      </c>
      <c r="D17" s="7" t="s">
        <v>23</v>
      </c>
      <c r="E17" s="5">
        <v>0.131</v>
      </c>
      <c r="F17" s="8" t="str">
        <f t="shared" si="3"/>
        <v>0.0655 Cup (Shredded)</v>
      </c>
      <c r="G17" s="9">
        <v>0.07</v>
      </c>
      <c r="H17" s="10">
        <f t="shared" si="4"/>
        <v>0.00917</v>
      </c>
    </row>
    <row r="18">
      <c r="B18" s="5" t="s">
        <v>10</v>
      </c>
      <c r="C18" s="6">
        <v>1.0</v>
      </c>
      <c r="D18" s="7" t="s">
        <v>11</v>
      </c>
      <c r="E18" s="5">
        <v>2.037</v>
      </c>
      <c r="F18" s="8" t="str">
        <f t="shared" si="3"/>
        <v>2.037 Cup</v>
      </c>
      <c r="G18" s="9">
        <v>0.23</v>
      </c>
      <c r="H18" s="10">
        <f t="shared" si="4"/>
        <v>0.46851</v>
      </c>
    </row>
    <row r="19">
      <c r="B19" s="5" t="s">
        <v>12</v>
      </c>
      <c r="C19" s="6">
        <v>1.0</v>
      </c>
      <c r="D19" s="7" t="s">
        <v>9</v>
      </c>
      <c r="E19" s="5">
        <v>0.893</v>
      </c>
      <c r="F19" s="8" t="str">
        <f t="shared" si="3"/>
        <v>0.893 Fruit</v>
      </c>
      <c r="G19" s="9">
        <v>0.15</v>
      </c>
      <c r="H19" s="10">
        <f t="shared" si="4"/>
        <v>0.13395</v>
      </c>
    </row>
    <row r="20">
      <c r="B20" s="5" t="s">
        <v>13</v>
      </c>
      <c r="C20" s="6">
        <v>4.0</v>
      </c>
      <c r="D20" s="7" t="s">
        <v>14</v>
      </c>
      <c r="E20" s="5">
        <v>0.562</v>
      </c>
      <c r="F20" s="8" t="str">
        <f t="shared" si="3"/>
        <v>2.248 Oz</v>
      </c>
      <c r="G20" s="9">
        <v>0.81</v>
      </c>
      <c r="H20" s="10">
        <f t="shared" si="4"/>
        <v>0.45522</v>
      </c>
    </row>
    <row r="21">
      <c r="B21" s="5" t="s">
        <v>15</v>
      </c>
      <c r="C21" s="6">
        <v>0.5</v>
      </c>
      <c r="D21" s="7" t="s">
        <v>11</v>
      </c>
      <c r="E21" s="5">
        <v>2.701</v>
      </c>
      <c r="F21" s="8" t="str">
        <f t="shared" si="3"/>
        <v>1.3505 Cup</v>
      </c>
      <c r="G21" s="9">
        <v>0.06</v>
      </c>
      <c r="H21" s="10">
        <f t="shared" si="4"/>
        <v>0.16206</v>
      </c>
    </row>
    <row r="22">
      <c r="B22" s="5" t="s">
        <v>16</v>
      </c>
      <c r="C22" s="6">
        <v>1.0</v>
      </c>
      <c r="D22" s="7" t="s">
        <v>11</v>
      </c>
      <c r="E22" s="5">
        <v>1.566</v>
      </c>
      <c r="F22" s="8" t="str">
        <f t="shared" si="3"/>
        <v>1.566 Cup</v>
      </c>
      <c r="G22" s="9">
        <v>0.13</v>
      </c>
      <c r="H22" s="10">
        <f t="shared" si="4"/>
        <v>0.20358</v>
      </c>
    </row>
    <row r="23">
      <c r="B23" s="5" t="s">
        <v>17</v>
      </c>
      <c r="C23" s="6">
        <v>1.5</v>
      </c>
      <c r="D23" s="7" t="s">
        <v>11</v>
      </c>
      <c r="E23" s="5">
        <v>0.557</v>
      </c>
      <c r="F23" s="8" t="str">
        <f t="shared" si="3"/>
        <v>0.8355 Cup</v>
      </c>
      <c r="G23" s="9">
        <v>0.78</v>
      </c>
      <c r="H23" s="10">
        <f t="shared" si="4"/>
        <v>0.43446</v>
      </c>
    </row>
    <row r="24">
      <c r="B24" s="11" t="s">
        <v>24</v>
      </c>
      <c r="C24" s="12">
        <v>0.5</v>
      </c>
      <c r="D24" s="11" t="s">
        <v>11</v>
      </c>
      <c r="E24" s="19">
        <v>0.351</v>
      </c>
      <c r="F24" s="14" t="str">
        <f t="shared" si="3"/>
        <v>0.1755 Cup</v>
      </c>
      <c r="G24" s="15">
        <v>0.08</v>
      </c>
      <c r="H24" s="16">
        <f t="shared" si="4"/>
        <v>0.02808</v>
      </c>
    </row>
    <row r="25">
      <c r="B25" s="1" t="s">
        <v>18</v>
      </c>
      <c r="D25" s="17"/>
      <c r="G25" s="17"/>
      <c r="H25" s="18">
        <f>sum(H15:H24)</f>
        <v>2.64991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